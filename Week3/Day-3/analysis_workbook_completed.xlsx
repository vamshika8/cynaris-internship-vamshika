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ynaris\cynaris-internship-vamshika\Week3\Day-3\"/>
    </mc:Choice>
  </mc:AlternateContent>
  <bookViews>
    <workbookView xWindow="0" yWindow="0" windowWidth="15345" windowHeight="4635" firstSheet="1" activeTab="1"/>
  </bookViews>
  <sheets>
    <sheet name="Task Checklist" sheetId="1" r:id="rId1"/>
    <sheet name="Sheet1" sheetId="6" r:id="rId2"/>
    <sheet name="Sales Data" sheetId="2" r:id="rId3"/>
    <sheet name="Analysis" sheetId="3" r:id="rId4"/>
    <sheet name="Power Query" sheetId="4" r:id="rId5"/>
    <sheet name="Read Me" sheetId="5" r:id="rId6"/>
  </sheets>
  <definedNames>
    <definedName name="_xlnm._FilterDatabase" localSheetId="2" hidden="1">'Sales Data'!$A$1:$K$4</definedName>
    <definedName name="_xlnm._FilterDatabase" localSheetId="0" hidden="1">'Task Checklist'!$A$4:$C$11</definedName>
    <definedName name="Slicer_product">#N/A</definedName>
    <definedName name="Slicer_region">#N/A</definedName>
  </definedNames>
  <calcPr calcId="152511"/>
  <pivotCaches>
    <pivotCache cacheId="4" r:id="rId7"/>
  </pivotCaches>
  <fileRecoveryPr repairLoad="1"/>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8" i="3" l="1"/>
  <c r="B13" i="3"/>
  <c r="B12" i="3"/>
  <c r="B11" i="3"/>
  <c r="B6" i="3"/>
  <c r="K4" i="2"/>
  <c r="J4" i="2"/>
  <c r="I4" i="2"/>
  <c r="K3" i="2"/>
  <c r="J3" i="2"/>
  <c r="I3" i="2"/>
  <c r="K2" i="2"/>
  <c r="E9" i="3" s="1"/>
  <c r="B21" i="3" s="1"/>
  <c r="J2" i="2"/>
  <c r="I2" i="2"/>
  <c r="E6" i="3" l="1"/>
  <c r="B18" i="3" s="1"/>
  <c r="C19" i="3" s="1"/>
  <c r="E7" i="3"/>
  <c r="B19" i="3" s="1"/>
  <c r="E8" i="3"/>
  <c r="B20" i="3" s="1"/>
  <c r="C21" i="3" s="1"/>
  <c r="C20" i="3" l="1"/>
</calcChain>
</file>

<file path=xl/comments1.xml><?xml version="1.0" encoding="utf-8"?>
<comments xmlns="http://schemas.openxmlformats.org/spreadsheetml/2006/main">
  <authors>
    <author>OpenAI</author>
  </authors>
  <commentList>
    <comment ref="H1" authorId="0" shapeId="0">
      <text>
        <r>
          <rPr>
            <sz val="11"/>
            <color theme="1"/>
            <rFont val="Calibri"/>
            <family val="2"/>
            <scheme val="minor"/>
          </rPr>
          <t>Cost was not supplied in the source data. Enter verified cost values before calculating profit or margin.</t>
        </r>
      </text>
    </comment>
    <comment ref="I1" authorId="0" shapeId="0">
      <text>
        <r>
          <rPr>
            <sz val="11"/>
            <color theme="1"/>
            <rFont val="Calibri"/>
            <family val="2"/>
            <scheme val="minor"/>
          </rPr>
          <t>Profit is left blank when cost is missing; no cost values have been invented.</t>
        </r>
      </text>
    </comment>
    <comment ref="J1" authorId="0" shapeId="0">
      <text>
        <r>
          <rPr>
            <sz val="11"/>
            <color theme="1"/>
            <rFont val="Calibri"/>
            <family val="2"/>
            <scheme val="minor"/>
          </rPr>
          <t>Margin % is left blank when cost is missing.</t>
        </r>
      </text>
    </comment>
  </commentList>
</comments>
</file>

<file path=xl/sharedStrings.xml><?xml version="1.0" encoding="utf-8"?>
<sst xmlns="http://schemas.openxmlformats.org/spreadsheetml/2006/main" count="148" uniqueCount="122">
  <si>
    <t>WEEK 3 — DAY 3: EXCEL FOR ANALYSIS</t>
  </si>
  <si>
    <t>Submission readiness checklist — based on the Cynaris lesson PDF</t>
  </si>
  <si>
    <t>Requirement</t>
  </si>
  <si>
    <t>Current status</t>
  </si>
  <si>
    <t>What remains / honest note</t>
  </si>
  <si>
    <t>Revenue by region, product, and quarter</t>
  </si>
  <si>
    <t>PARTIAL — formula summaries included</t>
  </si>
  <si>
    <t>The Analysis sheet has formula-based summaries. These are not a native Excel PivotTable.</t>
  </si>
  <si>
    <t>Calculated fields: margin and growth %</t>
  </si>
  <si>
    <t>PARTIAL</t>
  </si>
  <si>
    <t>Growth formulas are included. Profit/margin cannot be calculated without cost data; do not invent costs.</t>
  </si>
  <si>
    <t>Power Query: combine multiple CSVs</t>
  </si>
  <si>
    <t>SCRIPT INCLUDED — connection not embedded</t>
  </si>
  <si>
    <t>PowerQuery_Combine_CSVs.m and three source CSVs are included. A real query connection must be created in compatible Excel.</t>
  </si>
  <si>
    <t>PivotChart with dynamic slicers</t>
  </si>
  <si>
    <t>NOT COMPLETE</t>
  </si>
  <si>
    <t>Existing charts are standard charts, not a native PivotChart with interactive slicers.</t>
  </si>
  <si>
    <t>Conditional formatting for KPI thresholds</t>
  </si>
  <si>
    <t>PARTIAL / PRESENT FOR GROWTH</t>
  </si>
  <si>
    <t>Growth cells have conditional formatting in the workbook; inspect the Analysis sheet.</t>
  </si>
  <si>
    <t>Git commit, push, and Pull Request</t>
  </si>
  <si>
    <t>NOT VERIFIED</t>
  </si>
  <si>
    <t>Must be done in the repository; this ZIP alone does not prove Git submission.</t>
  </si>
  <si>
    <t>Work log and CIA activities</t>
  </si>
  <si>
    <t>Record the deliverable and CIA session/insights as required by the lesson.</t>
  </si>
  <si>
    <t>id</t>
  </si>
  <si>
    <t>product</t>
  </si>
  <si>
    <t>region</t>
  </si>
  <si>
    <t>amount</t>
  </si>
  <si>
    <t>sale_date</t>
  </si>
  <si>
    <t>quantity</t>
  </si>
  <si>
    <t>discount</t>
  </si>
  <si>
    <t>cost</t>
  </si>
  <si>
    <t>profit</t>
  </si>
  <si>
    <t>margin_pct</t>
  </si>
  <si>
    <t>quarter</t>
  </si>
  <si>
    <t>Laptop</t>
  </si>
  <si>
    <t>North</t>
  </si>
  <si>
    <t>2026-01-15</t>
  </si>
  <si>
    <t>Phone</t>
  </si>
  <si>
    <t>2026-02-05</t>
  </si>
  <si>
    <t>Tablet</t>
  </si>
  <si>
    <t>2026-04-01</t>
  </si>
  <si>
    <t>NORTH SALES — ANALYSIS WORKBOOK</t>
  </si>
  <si>
    <t>Source: north_sales.csv (3 original records). Revenue is represented by amount.</t>
  </si>
  <si>
    <t>Revenue by Region</t>
  </si>
  <si>
    <t>Revenue by Quarter</t>
  </si>
  <si>
    <t>Region</t>
  </si>
  <si>
    <t>Revenue</t>
  </si>
  <si>
    <t>Quarter</t>
  </si>
  <si>
    <t>Q1</t>
  </si>
  <si>
    <t>Q2</t>
  </si>
  <si>
    <t>Q3</t>
  </si>
  <si>
    <t>Revenue by Product</t>
  </si>
  <si>
    <t>Q4</t>
  </si>
  <si>
    <t>Product</t>
  </si>
  <si>
    <t>Quarter-over-Quarter Growth</t>
  </si>
  <si>
    <t>Profit Margin KPI</t>
  </si>
  <si>
    <t>Growth %</t>
  </si>
  <si>
    <t>Status</t>
  </si>
  <si>
    <t>Margin unavailable</t>
  </si>
  <si>
    <t>Reason</t>
  </si>
  <si>
    <t>Source data has no cost values.</t>
  </si>
  <si>
    <t>Data limitation</t>
  </si>
  <si>
    <t>All 3 source records are North; Q3/Q4 have no sales. Profit/margin remain blank until verified costs are entered.</t>
  </si>
  <si>
    <t>POWER QUERY — COMBINE MULTIPLE CSV FILES</t>
  </si>
  <si>
    <t>Ready-to-use M code</t>
  </si>
  <si>
    <t>The full M script is also included as PowerQuery_Combine_CSVs.m in the deliverable ZIP. In Excel: Data &gt; Get Data &gt; From Other Sources &gt; Blank Query &gt; Advanced Editor; paste the code, then replace the folder path.</t>
  </si>
  <si>
    <t>Important</t>
  </si>
  <si>
    <t>Excel's native Power Query connection is not embedded by this generated workbook. The M script is provided ready to paste into Power Query; update its folder path and Close &amp; Load.</t>
  </si>
  <si>
    <t>M code</t>
  </si>
  <si>
    <t>let</t>
  </si>
  <si>
    <t xml:space="preserve">    // Put north_sales_part1.csv, north_sales_part2.csv, and north_sales_part3.csv in one folder.</t>
  </si>
  <si>
    <t xml:space="preserve">    // Change this folder path to the folder where you saved the source_csvs files.</t>
  </si>
  <si>
    <t xml:space="preserve">    Source = Folder.Files("C:\\CHANGE_ME\\source_csvs"),</t>
  </si>
  <si>
    <t xml:space="preserve">    CsvFiles = Table.SelectRows(Source, each Text.Lower([Extension]) = ".csv"),</t>
  </si>
  <si>
    <t xml:space="preserve">    ReadCsv = Table.AddColumn(CsvFiles, "Data", each</t>
  </si>
  <si>
    <t xml:space="preserve">        Table.PromoteHeaders(</t>
  </si>
  <si>
    <t xml:space="preserve">            Csv.Document([Content], [Delimiter=",", Encoding=65001, QuoteStyle=QuoteStyle.Csv]),</t>
  </si>
  <si>
    <t xml:space="preserve">            [PromoteAllScalars=true]</t>
  </si>
  <si>
    <t xml:space="preserve">        )</t>
  </si>
  <si>
    <t xml:space="preserve">    ),</t>
  </si>
  <si>
    <t xml:space="preserve">    Combined = Table.Combine(ReadCsv[Data]),</t>
  </si>
  <si>
    <t xml:space="preserve">    Typed = Table.TransformColumnTypes(Combined, {</t>
  </si>
  <si>
    <t xml:space="preserve">        {"id", Int64.Type}, {"product", type text}, {"region", type text},</t>
  </si>
  <si>
    <t xml:space="preserve">        {"amount", Currency.Type}, {"sale_date", type date},</t>
  </si>
  <si>
    <t xml:space="preserve">        {"quantity", Int64.Type}, {"discount", Percentage.Type}</t>
  </si>
  <si>
    <t xml:space="preserve">    }),</t>
  </si>
  <si>
    <t xml:space="preserve">    TrimmedText = Table.TransformColumns(Typed, {</t>
  </si>
  <si>
    <t xml:space="preserve">        {"product", each Text.Trim(_), type text},</t>
  </si>
  <si>
    <t xml:space="preserve">        {"region", each Text.Trim(_), type text}</t>
  </si>
  <si>
    <t xml:space="preserve">    AddQuarter = Table.AddColumn(TrimmedText, "quarter", each "Q" &amp; Text.From(Date.QuarterOfYear([sale_date])), type text),</t>
  </si>
  <si>
    <t xml:space="preserve">    AddCost = Table.AddColumn(AddQuarter, "cost", each null, Currency.Type),</t>
  </si>
  <si>
    <t xml:space="preserve">    AddProfit = Table.AddColumn(AddCost, "profit", each if [cost] = null then null else [amount] - [cost], Currency.Type),</t>
  </si>
  <si>
    <t xml:space="preserve">    AddMargin = Table.AddColumn(AddProfit, "margin_pct", each if [cost] = null or [amount] = 0 then null else ([amount] - [cost]) / [amount], Percentage.Type)</t>
  </si>
  <si>
    <t>in</t>
  </si>
  <si>
    <t xml:space="preserve">    AddMargin</t>
  </si>
  <si>
    <t>Requirement from Cynaris lesson</t>
  </si>
  <si>
    <t>Current status / action</t>
  </si>
  <si>
    <t>Revenue by region, product and quarter</t>
  </si>
  <si>
    <t>Formula-based summaries are present on Analysis. A native Excel PivotTable is not embedded.</t>
  </si>
  <si>
    <t>Calculated margin and growth %</t>
  </si>
  <si>
    <t>Growth formulas are present. Profit/margin remain blank because the source data has no cost values; do not invent costs.</t>
  </si>
  <si>
    <t>Power Query: import, transform and load multiple CSVs</t>
  </si>
  <si>
    <t>PowerQuery_Combine_CSVs.m and three source CSV files are included. The native query connection is not embedded; create it in compatible Excel and Close &amp; Load.</t>
  </si>
  <si>
    <t>The existing charts are standard charts, not a native PivotChart with interactive slicers.</t>
  </si>
  <si>
    <t>Growth cells have conditional formatting. Growth is not meaningful where the previous quarter has zero revenue.</t>
  </si>
  <si>
    <t>Source data integrity</t>
  </si>
  <si>
    <t>Only the three original sales records are used. They are split across three CSVs to demonstrate combining files; no extra sales have been fabricated.</t>
  </si>
  <si>
    <t>IMPORTANT: before calling this fully complete</t>
  </si>
  <si>
    <t>Complete the three Excel-only actions below: (1) create a native PivotTable, (2) connect and load Power Query, (3) create PivotChart + slicers. Save the workbook after each step.</t>
  </si>
  <si>
    <t>Native PivotTable steps</t>
  </si>
  <si>
    <t>Select any cell in Sales Data &gt; Insert &gt; PivotTable &gt; New Worksheet. Add region, product and quarter to Rows (or arrange as needed); add amount to Values and ensure it is Sum. Rename sheet PivotTable.</t>
  </si>
  <si>
    <t>Power Query steps</t>
  </si>
  <si>
    <t>Extract the ZIP. Put source_csvs in a stable folder. In Excel: Data &gt; Get Data &gt; From Other Sources &gt; Blank Query &gt; Advanced Editor. Paste the M script and replace C:\\CHANGE_ME\\source_csvs with the full path to source_csvs. Choose Close &amp; Load.</t>
  </si>
  <si>
    <t>PivotChart + slicers steps</t>
  </si>
  <si>
    <t>Click inside the native PivotTable &gt; PivotTable Analyze &gt; PivotChart. Then PivotTable Analyze &gt; Insert Slicer; select Region, Product and Quarter if available as fields. Test each slicer.</t>
  </si>
  <si>
    <t>CIA / Git tasks from lesson PDF</t>
  </si>
  <si>
    <t>Still complete separately: ask CIA the required question, document insights in work log, use CIA Career tab, submit workbook to CIA for feedback, commit with the required message, push feature/week-3-day-3, and raise a PR.</t>
  </si>
  <si>
    <t>Row Labels</t>
  </si>
  <si>
    <t>Grand Total</t>
  </si>
  <si>
    <t>Sum of 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</si>
</sst>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
    <numFmt numFmtId="165" formatCode="dd\-mmm\-yyyy"/>
    <numFmt numFmtId="166" formatCode="0.0%"/>
    <numFmt numFmtId="167" formatCode="0.0%;[Red]\-0.0%"/>
  </numFmts>
  <fonts count="9" x14ac:knownFonts="1">
    <font>
      <sz val="11"/>
      <color theme="1"/>
      <name val="Calibri"/>
      <family val="2"/>
      <scheme val="minor"/>
    </font>
    <font>
      <b/>
      <sz val="11"/>
      <color rgb="FFFFFFFF"/>
      <name val="Calibri"/>
    </font>
    <font>
      <b/>
      <sz val="16"/>
      <color rgb="FFFFFFFF"/>
      <name val="Calibri"/>
    </font>
    <font>
      <i/>
      <sz val="11"/>
      <color rgb="FF666666"/>
      <name val="Calibri"/>
    </font>
    <font>
      <b/>
      <sz val="11"/>
      <color rgb="FFC00000"/>
      <name val="Calibri"/>
    </font>
    <font>
      <b/>
      <sz val="15"/>
      <color rgb="FFFFFFFF"/>
      <name val="Calibri"/>
    </font>
    <font>
      <sz val="9"/>
      <name val="Consolas"/>
    </font>
    <font>
      <b/>
      <sz val="14"/>
      <color rgb="FFFFFFFF"/>
      <name val="Calibri"/>
    </font>
    <font>
      <b/>
      <sz val="11"/>
      <name val="Calibri"/>
    </font>
  </fonts>
  <fills count="9">
    <fill>
      <patternFill patternType="none"/>
    </fill>
    <fill>
      <patternFill patternType="gray125"/>
    </fill>
    <fill>
      <patternFill patternType="solid">
        <fgColor rgb="FF1F4E78"/>
      </patternFill>
    </fill>
    <fill>
      <patternFill patternType="solid">
        <fgColor rgb="FFFFFFFF"/>
      </patternFill>
    </fill>
    <fill>
      <patternFill patternType="solid">
        <fgColor rgb="FF5B9BD5"/>
      </patternFill>
    </fill>
    <fill>
      <patternFill patternType="solid">
        <fgColor rgb="FF17365D"/>
      </patternFill>
    </fill>
    <fill>
      <patternFill patternType="solid">
        <fgColor rgb="FFFFF2CC"/>
      </patternFill>
    </fill>
    <fill>
      <patternFill patternType="solid">
        <fgColor rgb="FF4472C4"/>
      </patternFill>
    </fill>
    <fill>
      <patternFill patternType="solid">
        <fgColor rgb="FFEAF1F8"/>
      </patternFill>
    </fill>
  </fills>
  <borders count="3">
    <border>
      <left/>
      <right/>
      <top/>
      <bottom/>
      <diagonal/>
    </border>
    <border>
      <left/>
      <right/>
      <top/>
      <bottom style="thin">
        <color rgb="FFD9E1F2"/>
      </bottom>
      <diagonal/>
    </border>
    <border>
      <left/>
      <right/>
      <top/>
      <bottom style="thin">
        <color rgb="FFD9E2F3"/>
      </bottom>
      <diagonal/>
    </border>
  </borders>
  <cellStyleXfs count="1">
    <xf numFmtId="0" fontId="0" fillId="0" borderId="0"/>
  </cellStyleXfs>
  <cellXfs count="34">
    <xf numFmtId="0" fontId="0" fillId="0" borderId="0" xfId="0"/>
    <xf numFmtId="0" fontId="1" fillId="2" borderId="0" xfId="0" applyFont="1" applyFill="1" applyAlignment="1">
      <alignment horizontal="center"/>
    </xf>
    <xf numFmtId="0" fontId="0" fillId="3" borderId="1" xfId="0" applyFill="1" applyBorder="1"/>
    <xf numFmtId="164" fontId="0" fillId="3" borderId="1" xfId="0" applyNumberFormat="1" applyFill="1" applyBorder="1"/>
    <xf numFmtId="165" fontId="0" fillId="3" borderId="1" xfId="0" applyNumberFormat="1" applyFill="1" applyBorder="1"/>
    <xf numFmtId="166" fontId="0" fillId="3" borderId="1" xfId="0" applyNumberFormat="1" applyFill="1" applyBorder="1"/>
    <xf numFmtId="0" fontId="0" fillId="0" borderId="0" xfId="0" applyAlignment="1">
      <alignment vertical="center"/>
    </xf>
    <xf numFmtId="0" fontId="1" fillId="2" borderId="0" xfId="0" applyFont="1" applyFill="1" applyAlignment="1">
      <alignment vertical="center"/>
    </xf>
    <xf numFmtId="0" fontId="1" fillId="4" borderId="0" xfId="0" applyFont="1" applyFill="1" applyAlignment="1">
      <alignment vertical="center"/>
    </xf>
    <xf numFmtId="164" fontId="0" fillId="0" borderId="0" xfId="0" applyNumberFormat="1" applyAlignment="1">
      <alignment vertical="center"/>
    </xf>
    <xf numFmtId="167" fontId="0" fillId="0" borderId="0" xfId="0" applyNumberFormat="1" applyAlignment="1">
      <alignment vertical="center"/>
    </xf>
    <xf numFmtId="0" fontId="4" fillId="0" borderId="0" xfId="0" applyFont="1" applyAlignment="1">
      <alignment vertical="center"/>
    </xf>
    <xf numFmtId="0" fontId="1" fillId="4" borderId="0" xfId="0" applyFont="1" applyFill="1"/>
    <xf numFmtId="0" fontId="0" fillId="0" borderId="0" xfId="0" applyAlignment="1">
      <alignment vertical="top" wrapText="1"/>
    </xf>
    <xf numFmtId="0" fontId="4" fillId="0" borderId="0" xfId="0" applyFont="1"/>
    <xf numFmtId="0" fontId="6" fillId="0" borderId="0" xfId="0" applyFont="1"/>
    <xf numFmtId="0" fontId="8" fillId="0" borderId="0" xfId="0" applyFont="1" applyAlignment="1">
      <alignment vertical="top" wrapText="1"/>
    </xf>
    <xf numFmtId="0" fontId="8" fillId="6" borderId="0" xfId="0" applyFont="1" applyFill="1" applyAlignment="1">
      <alignment vertical="top" wrapText="1"/>
    </xf>
    <xf numFmtId="0" fontId="0" fillId="6" borderId="0" xfId="0" applyFill="1" applyAlignment="1">
      <alignment vertical="top" wrapText="1"/>
    </xf>
    <xf numFmtId="0" fontId="1" fillId="7" borderId="0" xfId="0" applyFont="1" applyFill="1" applyAlignment="1">
      <alignment vertical="top" wrapText="1"/>
    </xf>
    <xf numFmtId="0" fontId="0" fillId="8" borderId="2" xfId="0" applyFill="1" applyBorder="1" applyAlignment="1">
      <alignment vertical="top" wrapText="1"/>
    </xf>
    <xf numFmtId="0" fontId="0" fillId="0" borderId="2" xfId="0" applyBorder="1" applyAlignment="1">
      <alignment vertical="top" wrapText="1"/>
    </xf>
    <xf numFmtId="0" fontId="2" fillId="5" borderId="0" xfId="0" applyFont="1" applyFill="1"/>
    <xf numFmtId="0" fontId="0" fillId="0" borderId="0" xfId="0"/>
    <xf numFmtId="0" fontId="3" fillId="0" borderId="0" xfId="0" applyFont="1"/>
    <xf numFmtId="0" fontId="3" fillId="0" borderId="0" xfId="0" applyFont="1" applyAlignment="1">
      <alignment vertical="center"/>
    </xf>
    <xf numFmtId="0" fontId="2" fillId="2" borderId="0" xfId="0" applyFont="1" applyFill="1" applyAlignment="1">
      <alignment vertical="center"/>
    </xf>
    <xf numFmtId="0" fontId="5" fillId="2" borderId="0" xfId="0" applyFont="1" applyFill="1"/>
    <xf numFmtId="0" fontId="7" fillId="5" borderId="0" xfId="0"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cellXfs>
  <cellStyles count="1">
    <cellStyle name="Normal" xfId="0" builtinId="0"/>
  </cellStyles>
  <dxfs count="2">
    <dxf>
      <font>
        <color rgb="FF274E13"/>
      </font>
      <fill>
        <patternFill patternType="solid">
          <fgColor rgb="FFD9EAD3"/>
        </patternFill>
      </fill>
    </dxf>
    <dxf>
      <font>
        <color rgb="FF9C0006"/>
      </font>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[analysis_workbook_completed.xlsx]Sheet1!PivotTable1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multiLvlStrRef>
              <c:f>Sheet1!$A$4:$A$11</c:f>
              <c:multiLvlStrCache>
                <c:ptCount val="3"/>
                <c:lvl>
                  <c:pt idx="0">
                    <c:v>Laptop</c:v>
                  </c:pt>
                  <c:pt idx="1">
                    <c:v>Phone</c:v>
                  </c:pt>
                  <c:pt idx="2">
                    <c:v>Tablet</c:v>
                  </c:pt>
                </c:lvl>
                <c:lvl>
                  <c:pt idx="0">
                    <c:v>North</c:v>
                  </c:pt>
                  <c:pt idx="2">
                    <c:v>North</c:v>
                  </c:pt>
                </c:lvl>
                <c:lvl>
                  <c:pt idx="0">
                    <c:v>Q1</c:v>
                  </c:pt>
                  <c:pt idx="2">
                    <c:v>Q2</c:v>
                  </c:pt>
                </c:lvl>
              </c:multiLvlStrCache>
            </c:multiLvlStrRef>
          </c:cat>
          <c:val>
            <c:numRef>
              <c:f>Sheet1!$B$4:$B$11</c:f>
              <c:numCache>
                <c:formatCode>General</c:formatCode>
                <c:ptCount val="3"/>
                <c:pt idx="0">
                  <c:v>85000</c:v>
                </c:pt>
                <c:pt idx="1">
                  <c:v>45000</c:v>
                </c:pt>
                <c:pt idx="2">
                  <c:v>32000</c:v>
                </c:pt>
              </c:numCache>
            </c:numRef>
          </c:val>
        </c:ser>
        <c:dLbls>
          <c:showLegendKey val="0"/>
          <c:showVal val="0"/>
          <c:showCatName val="0"/>
          <c:showSerName val="0"/>
          <c:showPercent val="0"/>
          <c:showBubbleSize val="0"/>
        </c:dLbls>
        <c:gapWidth val="219"/>
        <c:overlap val="-27"/>
        <c:axId val="1496343312"/>
        <c:axId val="1496347120"/>
      </c:barChart>
      <c:catAx>
        <c:axId val="14963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347120"/>
        <c:crosses val="autoZero"/>
        <c:auto val="1"/>
        <c:lblAlgn val="ctr"/>
        <c:lblOffset val="100"/>
        <c:noMultiLvlLbl val="0"/>
      </c:catAx>
      <c:valAx>
        <c:axId val="149634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343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a:defRPr/>
            </a:pPr>
            <a:r>
              <a:rPr lang="en-US"/>
              <a:t>Revenue by Product</a:t>
            </a:r>
          </a:p>
        </c:rich>
      </c:tx>
      <c:layout/>
      <c:overlay val="1"/>
    </c:title>
    <c:autoTitleDeleted val="0"/>
    <c:plotArea>
      <c:layout/>
      <c:barChart>
        <c:barDir val="bar"/>
        <c:grouping val="clustered"/>
        <c:varyColors val="1"/>
        <c:ser>
          <c:idx val="0"/>
          <c:order val="0"/>
          <c:tx>
            <c:strRef>
              <c:f>Analysis!$B$10</c:f>
              <c:strCache>
                <c:ptCount val="1"/>
                <c:pt idx="0">
                  <c:v>Revenue</c:v>
                </c:pt>
              </c:strCache>
            </c:strRef>
          </c:tx>
          <c:spPr>
            <a:ln>
              <a:prstDash val="solid"/>
            </a:ln>
          </c:spPr>
          <c:invertIfNegative val="1"/>
          <c:cat>
            <c:strRef>
              <c:f>Analysis!$A$11:$A$13</c:f>
              <c:strCache>
                <c:ptCount val="3"/>
                <c:pt idx="0">
                  <c:v>Laptop</c:v>
                </c:pt>
                <c:pt idx="1">
                  <c:v>Phone</c:v>
                </c:pt>
                <c:pt idx="2">
                  <c:v>Tablet</c:v>
                </c:pt>
              </c:strCache>
            </c:strRef>
          </c:cat>
          <c:val>
            <c:numRef>
              <c:f>Analysis!$B$11:$B$13</c:f>
              <c:numCache>
                <c:formatCode>\₹#,##0.00</c:formatCode>
                <c:ptCount val="3"/>
                <c:pt idx="0">
                  <c:v>85000</c:v>
                </c:pt>
                <c:pt idx="1">
                  <c:v>45000</c:v>
                </c:pt>
                <c:pt idx="2">
                  <c:v>32000</c:v>
                </c:pt>
              </c:numCache>
            </c:numRef>
          </c:val>
        </c:ser>
        <c:dLbls>
          <c:showLegendKey val="0"/>
          <c:showVal val="0"/>
          <c:showCatName val="0"/>
          <c:showSerName val="0"/>
          <c:showPercent val="0"/>
          <c:showBubbleSize val="0"/>
        </c:dLbls>
        <c:gapWidth val="150"/>
        <c:axId val="1496341680"/>
        <c:axId val="1496353104"/>
      </c:barChart>
      <c:catAx>
        <c:axId val="1496341680"/>
        <c:scaling>
          <c:orientation val="minMax"/>
        </c:scaling>
        <c:delete val="1"/>
        <c:axPos val="l"/>
        <c:title>
          <c:tx>
            <c:rich>
              <a:bodyPr/>
              <a:lstStyle/>
              <a:p>
                <a:pPr>
                  <a:defRPr/>
                </a:pPr>
                <a:r>
                  <a:rPr lang="en-US"/>
                  <a:t>Revenue (₹)</a:t>
                </a:r>
              </a:p>
            </c:rich>
          </c:tx>
          <c:layout/>
          <c:overlay val="1"/>
        </c:title>
        <c:numFmt formatCode="General" sourceLinked="1"/>
        <c:majorTickMark val="none"/>
        <c:minorTickMark val="none"/>
        <c:tickLblPos val="nextTo"/>
        <c:crossAx val="1496353104"/>
        <c:crosses val="autoZero"/>
        <c:auto val="1"/>
        <c:lblAlgn val="ctr"/>
        <c:lblOffset val="100"/>
        <c:noMultiLvlLbl val="1"/>
      </c:catAx>
      <c:valAx>
        <c:axId val="1496353104"/>
        <c:scaling>
          <c:orientation val="minMax"/>
        </c:scaling>
        <c:delete val="1"/>
        <c:axPos val="b"/>
        <c:majorGridlines/>
        <c:title>
          <c:tx>
            <c:rich>
              <a:bodyPr/>
              <a:lstStyle/>
              <a:p>
                <a:pPr>
                  <a:defRPr/>
                </a:pPr>
                <a:r>
                  <a:rPr lang="en-US"/>
                  <a:t>Product</a:t>
                </a:r>
              </a:p>
            </c:rich>
          </c:tx>
          <c:layout/>
          <c:overlay val="1"/>
        </c:title>
        <c:numFmt formatCode="\₹#,##0.00" sourceLinked="1"/>
        <c:majorTickMark val="none"/>
        <c:minorTickMark val="none"/>
        <c:tickLblPos val="nextTo"/>
        <c:crossAx val="1496341680"/>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a:defRPr/>
            </a:pPr>
            <a:r>
              <a:rPr lang="en-US"/>
              <a:t>Revenue by Quarter</a:t>
            </a:r>
          </a:p>
        </c:rich>
      </c:tx>
      <c:layout/>
      <c:overlay val="1"/>
    </c:title>
    <c:autoTitleDeleted val="0"/>
    <c:plotArea>
      <c:layout/>
      <c:barChart>
        <c:barDir val="col"/>
        <c:grouping val="clustered"/>
        <c:varyColors val="1"/>
        <c:ser>
          <c:idx val="0"/>
          <c:order val="0"/>
          <c:tx>
            <c:strRef>
              <c:f>Analysis!$E$5</c:f>
              <c:strCache>
                <c:ptCount val="1"/>
                <c:pt idx="0">
                  <c:v>Revenue</c:v>
                </c:pt>
              </c:strCache>
            </c:strRef>
          </c:tx>
          <c:spPr>
            <a:ln>
              <a:prstDash val="solid"/>
            </a:ln>
          </c:spPr>
          <c:invertIfNegative val="1"/>
          <c:cat>
            <c:strRef>
              <c:f>Analysis!$D$6:$D$9</c:f>
              <c:strCache>
                <c:ptCount val="4"/>
                <c:pt idx="0">
                  <c:v>Q1</c:v>
                </c:pt>
                <c:pt idx="1">
                  <c:v>Q2</c:v>
                </c:pt>
                <c:pt idx="2">
                  <c:v>Q3</c:v>
                </c:pt>
                <c:pt idx="3">
                  <c:v>Q4</c:v>
                </c:pt>
              </c:strCache>
            </c:strRef>
          </c:cat>
          <c:val>
            <c:numRef>
              <c:f>Analysis!$E$6:$E$9</c:f>
              <c:numCache>
                <c:formatCode>\₹#,##0.00</c:formatCode>
                <c:ptCount val="4"/>
                <c:pt idx="0">
                  <c:v>130000</c:v>
                </c:pt>
                <c:pt idx="1">
                  <c:v>32000</c:v>
                </c:pt>
                <c:pt idx="2">
                  <c:v>0</c:v>
                </c:pt>
                <c:pt idx="3">
                  <c:v>0</c:v>
                </c:pt>
              </c:numCache>
            </c:numRef>
          </c:val>
        </c:ser>
        <c:dLbls>
          <c:showLegendKey val="0"/>
          <c:showVal val="0"/>
          <c:showCatName val="0"/>
          <c:showSerName val="0"/>
          <c:showPercent val="0"/>
          <c:showBubbleSize val="0"/>
        </c:dLbls>
        <c:gapWidth val="150"/>
        <c:axId val="1496343856"/>
        <c:axId val="1496349840"/>
      </c:barChart>
      <c:catAx>
        <c:axId val="1496343856"/>
        <c:scaling>
          <c:orientation val="minMax"/>
        </c:scaling>
        <c:delete val="1"/>
        <c:axPos val="b"/>
        <c:title>
          <c:tx>
            <c:rich>
              <a:bodyPr/>
              <a:lstStyle/>
              <a:p>
                <a:pPr>
                  <a:defRPr/>
                </a:pPr>
                <a:r>
                  <a:rPr lang="en-US"/>
                  <a:t>Quarter</a:t>
                </a:r>
              </a:p>
            </c:rich>
          </c:tx>
          <c:layout/>
          <c:overlay val="1"/>
        </c:title>
        <c:numFmt formatCode="General" sourceLinked="1"/>
        <c:majorTickMark val="none"/>
        <c:minorTickMark val="none"/>
        <c:tickLblPos val="nextTo"/>
        <c:crossAx val="1496349840"/>
        <c:crosses val="autoZero"/>
        <c:auto val="1"/>
        <c:lblAlgn val="ctr"/>
        <c:lblOffset val="100"/>
        <c:noMultiLvlLbl val="1"/>
      </c:catAx>
      <c:valAx>
        <c:axId val="1496349840"/>
        <c:scaling>
          <c:orientation val="minMax"/>
        </c:scaling>
        <c:delete val="1"/>
        <c:axPos val="l"/>
        <c:majorGridlines/>
        <c:title>
          <c:tx>
            <c:rich>
              <a:bodyPr/>
              <a:lstStyle/>
              <a:p>
                <a:pPr>
                  <a:defRPr/>
                </a:pPr>
                <a:r>
                  <a:rPr lang="en-US"/>
                  <a:t>Revenue (₹)</a:t>
                </a:r>
              </a:p>
            </c:rich>
          </c:tx>
          <c:layout/>
          <c:overlay val="1"/>
        </c:title>
        <c:numFmt formatCode="\₹#,##0.00" sourceLinked="1"/>
        <c:majorTickMark val="none"/>
        <c:minorTickMark val="none"/>
        <c:tickLblPos val="nextTo"/>
        <c:crossAx val="1496343856"/>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190500</xdr:colOff>
      <xdr:row>1</xdr:row>
      <xdr:rowOff>104775</xdr:rowOff>
    </xdr:from>
    <xdr:to>
      <xdr:col>12</xdr:col>
      <xdr:colOff>495300</xdr:colOff>
      <xdr:row>15</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123825</xdr:colOff>
      <xdr:row>11</xdr:row>
      <xdr:rowOff>76200</xdr:rowOff>
    </xdr:from>
    <xdr:to>
      <xdr:col>5</xdr:col>
      <xdr:colOff>123825</xdr:colOff>
      <xdr:row>24</xdr:row>
      <xdr:rowOff>123825</xdr:rowOff>
    </xdr:to>
    <mc:AlternateContent xmlns:mc="http://schemas.openxmlformats.org/markup-compatibility/2006">
      <mc:Choice xmlns:a14="http://schemas.microsoft.com/office/drawing/2010/main"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971675" y="217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133350</xdr:rowOff>
    </xdr:from>
    <xdr:to>
      <xdr:col>1</xdr:col>
      <xdr:colOff>952500</xdr:colOff>
      <xdr:row>24</xdr:row>
      <xdr:rowOff>180975</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228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6</xdr:col>
      <xdr:colOff>0</xdr:colOff>
      <xdr:row>3</xdr:row>
      <xdr:rowOff>0</xdr:rowOff>
    </xdr:from>
    <xdr:ext cx="4320000" cy="252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18</xdr:row>
      <xdr:rowOff>0</xdr:rowOff>
    </xdr:from>
    <xdr:ext cx="4320000" cy="252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311.888669791668" createdVersion="5" refreshedVersion="5" minRefreshableVersion="3" recordCount="3">
  <cacheSource type="worksheet">
    <worksheetSource ref="A1:K4" sheet="Sales Data"/>
  </cacheSource>
  <cacheFields count="11">
    <cacheField name="id" numFmtId="0">
      <sharedItems containsSemiMixedTypes="0" containsString="0" containsNumber="1" containsInteger="1" minValue="1" maxValue="7"/>
    </cacheField>
    <cacheField name="product" numFmtId="0">
      <sharedItems count="3">
        <s v="Laptop"/>
        <s v="Phone"/>
        <s v="Tablet"/>
      </sharedItems>
    </cacheField>
    <cacheField name="region" numFmtId="0">
      <sharedItems count="1">
        <s v="North"/>
      </sharedItems>
    </cacheField>
    <cacheField name="amount" numFmtId="164">
      <sharedItems containsSemiMixedTypes="0" containsString="0" containsNumber="1" containsInteger="1" minValue="32000" maxValue="85000"/>
    </cacheField>
    <cacheField name="sale_date" numFmtId="165">
      <sharedItems/>
    </cacheField>
    <cacheField name="quantity" numFmtId="0">
      <sharedItems containsSemiMixedTypes="0" containsString="0" containsNumber="1" containsInteger="1" minValue="2" maxValue="4"/>
    </cacheField>
    <cacheField name="discount" numFmtId="166">
      <sharedItems containsSemiMixedTypes="0" containsString="0" containsNumber="1" minValue="0.05" maxValue="0.08"/>
    </cacheField>
    <cacheField name="cost" numFmtId="164">
      <sharedItems containsNonDate="0" containsString="0" containsBlank="1"/>
    </cacheField>
    <cacheField name="profit" numFmtId="164">
      <sharedItems/>
    </cacheField>
    <cacheField name="margin_pct" numFmtId="166">
      <sharedItems/>
    </cacheField>
    <cacheField name="quarter" numFmtId="0">
      <sharedItems count="2">
        <s v="Q1"/>
        <s v="Q2"/>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
  <r>
    <n v="1"/>
    <x v="0"/>
    <x v="0"/>
    <n v="85000"/>
    <s v="2026-01-15"/>
    <n v="2"/>
    <n v="0.05"/>
    <m/>
    <s v=""/>
    <s v=""/>
    <x v="0"/>
  </r>
  <r>
    <n v="5"/>
    <x v="1"/>
    <x v="0"/>
    <n v="45000"/>
    <s v="2026-02-05"/>
    <n v="4"/>
    <n v="0.05"/>
    <m/>
    <s v=""/>
    <s v=""/>
    <x v="0"/>
  </r>
  <r>
    <n v="7"/>
    <x v="2"/>
    <x v="0"/>
    <n v="32000"/>
    <s v="2026-04-01"/>
    <n v="2"/>
    <n v="0.08"/>
    <m/>
    <s v=""/>
    <s v=""/>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11" firstHeaderRow="1" firstDataRow="1" firstDataCol="1"/>
  <pivotFields count="11">
    <pivotField showAll="0"/>
    <pivotField axis="axisRow" showAll="0">
      <items count="4">
        <item x="0"/>
        <item x="1"/>
        <item x="2"/>
        <item t="default"/>
      </items>
    </pivotField>
    <pivotField axis="axisRow" showAll="0">
      <items count="2">
        <item x="0"/>
        <item t="default"/>
      </items>
    </pivotField>
    <pivotField dataField="1" numFmtId="164" showAll="0"/>
    <pivotField showAll="0"/>
    <pivotField showAll="0"/>
    <pivotField numFmtId="166" showAll="0"/>
    <pivotField showAll="0"/>
    <pivotField showAll="0"/>
    <pivotField showAll="0"/>
    <pivotField axis="axisRow" showAll="0">
      <items count="3">
        <item x="0"/>
        <item x="1"/>
        <item t="default"/>
      </items>
    </pivotField>
  </pivotFields>
  <rowFields count="3">
    <field x="10"/>
    <field x="2"/>
    <field x="1"/>
  </rowFields>
  <rowItems count="8">
    <i>
      <x/>
    </i>
    <i r="1">
      <x/>
    </i>
    <i r="2">
      <x/>
    </i>
    <i r="2">
      <x v="1"/>
    </i>
    <i>
      <x v="1"/>
    </i>
    <i r="1">
      <x/>
    </i>
    <i r="2">
      <x v="2"/>
    </i>
    <i t="grand">
      <x/>
    </i>
  </rowItems>
  <colItems count="1">
    <i/>
  </colItems>
  <dataFields count="1">
    <dataField name="Sum of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6" name="PivotTable1"/>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1"/>
  </pivotTables>
  <data>
    <tabular pivotCacheId="1">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showGridLines="0" workbookViewId="0">
      <pane ySplit="4" topLeftCell="A5" activePane="bottomLeft" state="frozen"/>
      <selection pane="bottomLeft" sqref="A1:C1"/>
    </sheetView>
  </sheetViews>
  <sheetFormatPr defaultRowHeight="15" x14ac:dyDescent="0.25"/>
  <cols>
    <col min="1" max="1" width="38" customWidth="1"/>
    <col min="2" max="2" width="34" customWidth="1"/>
    <col min="3" max="3" width="85" customWidth="1"/>
  </cols>
  <sheetData>
    <row r="1" spans="1:3" ht="21" x14ac:dyDescent="0.35">
      <c r="A1" s="22" t="s">
        <v>0</v>
      </c>
      <c r="B1" s="23"/>
      <c r="C1" s="23"/>
    </row>
    <row r="2" spans="1:3" x14ac:dyDescent="0.25">
      <c r="A2" s="24" t="s">
        <v>1</v>
      </c>
      <c r="B2" s="23"/>
      <c r="C2" s="23"/>
    </row>
    <row r="4" spans="1:3" x14ac:dyDescent="0.25">
      <c r="A4" s="19" t="s">
        <v>2</v>
      </c>
      <c r="B4" s="19" t="s">
        <v>3</v>
      </c>
      <c r="C4" s="19" t="s">
        <v>4</v>
      </c>
    </row>
    <row r="5" spans="1:3" ht="54.95" customHeight="1" x14ac:dyDescent="0.25">
      <c r="A5" s="20" t="s">
        <v>5</v>
      </c>
      <c r="B5" s="20" t="s">
        <v>6</v>
      </c>
      <c r="C5" s="20" t="s">
        <v>7</v>
      </c>
    </row>
    <row r="6" spans="1:3" ht="54.95" customHeight="1" x14ac:dyDescent="0.25">
      <c r="A6" s="21" t="s">
        <v>8</v>
      </c>
      <c r="B6" s="21" t="s">
        <v>9</v>
      </c>
      <c r="C6" s="21" t="s">
        <v>10</v>
      </c>
    </row>
    <row r="7" spans="1:3" ht="54.95" customHeight="1" x14ac:dyDescent="0.25">
      <c r="A7" s="20" t="s">
        <v>11</v>
      </c>
      <c r="B7" s="20" t="s">
        <v>12</v>
      </c>
      <c r="C7" s="20" t="s">
        <v>13</v>
      </c>
    </row>
    <row r="8" spans="1:3" ht="54.95" customHeight="1" x14ac:dyDescent="0.25">
      <c r="A8" s="21" t="s">
        <v>14</v>
      </c>
      <c r="B8" s="21" t="s">
        <v>15</v>
      </c>
      <c r="C8" s="21" t="s">
        <v>16</v>
      </c>
    </row>
    <row r="9" spans="1:3" ht="54.95" customHeight="1" x14ac:dyDescent="0.25">
      <c r="A9" s="20" t="s">
        <v>17</v>
      </c>
      <c r="B9" s="20" t="s">
        <v>18</v>
      </c>
      <c r="C9" s="20" t="s">
        <v>19</v>
      </c>
    </row>
    <row r="10" spans="1:3" ht="54.95" customHeight="1" x14ac:dyDescent="0.25">
      <c r="A10" s="21" t="s">
        <v>20</v>
      </c>
      <c r="B10" s="21" t="s">
        <v>21</v>
      </c>
      <c r="C10" s="21" t="s">
        <v>22</v>
      </c>
    </row>
    <row r="11" spans="1:3" ht="54.95" customHeight="1" x14ac:dyDescent="0.25">
      <c r="A11" s="20" t="s">
        <v>23</v>
      </c>
      <c r="B11" s="20" t="s">
        <v>21</v>
      </c>
      <c r="C11" s="20" t="s">
        <v>24</v>
      </c>
    </row>
  </sheetData>
  <autoFilter ref="A4:C11"/>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tabSelected="1" workbookViewId="0">
      <selection activeCell="I18" sqref="I18"/>
    </sheetView>
  </sheetViews>
  <sheetFormatPr defaultRowHeight="15" x14ac:dyDescent="0.25"/>
  <cols>
    <col min="1" max="1" width="13.140625" bestFit="1" customWidth="1"/>
    <col min="2" max="2" width="14.5703125" bestFit="1" customWidth="1"/>
  </cols>
  <sheetData>
    <row r="3" spans="1:2" x14ac:dyDescent="0.25">
      <c r="A3" s="29" t="s">
        <v>119</v>
      </c>
      <c r="B3" t="s">
        <v>121</v>
      </c>
    </row>
    <row r="4" spans="1:2" x14ac:dyDescent="0.25">
      <c r="A4" s="30" t="s">
        <v>50</v>
      </c>
      <c r="B4" s="32">
        <v>130000</v>
      </c>
    </row>
    <row r="5" spans="1:2" x14ac:dyDescent="0.25">
      <c r="A5" s="31" t="s">
        <v>37</v>
      </c>
      <c r="B5" s="32">
        <v>130000</v>
      </c>
    </row>
    <row r="6" spans="1:2" x14ac:dyDescent="0.25">
      <c r="A6" s="33" t="s">
        <v>36</v>
      </c>
      <c r="B6" s="32">
        <v>85000</v>
      </c>
    </row>
    <row r="7" spans="1:2" x14ac:dyDescent="0.25">
      <c r="A7" s="33" t="s">
        <v>39</v>
      </c>
      <c r="B7" s="32">
        <v>45000</v>
      </c>
    </row>
    <row r="8" spans="1:2" x14ac:dyDescent="0.25">
      <c r="A8" s="30" t="s">
        <v>51</v>
      </c>
      <c r="B8" s="32">
        <v>32000</v>
      </c>
    </row>
    <row r="9" spans="1:2" x14ac:dyDescent="0.25">
      <c r="A9" s="31" t="s">
        <v>37</v>
      </c>
      <c r="B9" s="32">
        <v>32000</v>
      </c>
    </row>
    <row r="10" spans="1:2" x14ac:dyDescent="0.25">
      <c r="A10" s="33" t="s">
        <v>41</v>
      </c>
      <c r="B10" s="32">
        <v>32000</v>
      </c>
    </row>
    <row r="11" spans="1:2" x14ac:dyDescent="0.25">
      <c r="A11" s="30" t="s">
        <v>120</v>
      </c>
      <c r="B11" s="32">
        <v>162000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4"/>
  <sheetViews>
    <sheetView showGridLines="0" topLeftCell="F1" workbookViewId="0">
      <pane ySplit="1" topLeftCell="A2" activePane="bottomLeft" state="frozen"/>
      <selection pane="bottomLeft" activeCell="J11" sqref="J11"/>
    </sheetView>
  </sheetViews>
  <sheetFormatPr defaultRowHeight="15" x14ac:dyDescent="0.25"/>
  <cols>
    <col min="1" max="1" width="9" customWidth="1"/>
    <col min="2" max="2" width="14" customWidth="1"/>
    <col min="3" max="3" width="12" customWidth="1"/>
    <col min="4" max="4" width="15" customWidth="1"/>
    <col min="5" max="5" width="16" customWidth="1"/>
    <col min="6" max="7" width="12" customWidth="1"/>
    <col min="8" max="10" width="14" customWidth="1"/>
    <col min="11" max="11" width="12" customWidth="1"/>
  </cols>
  <sheetData>
    <row r="1" spans="1:11" x14ac:dyDescent="0.25">
      <c r="A1" s="1" t="s">
        <v>25</v>
      </c>
      <c r="B1" s="1" t="s">
        <v>26</v>
      </c>
      <c r="C1" s="1" t="s">
        <v>27</v>
      </c>
      <c r="D1" s="1" t="s">
        <v>28</v>
      </c>
      <c r="E1" s="1" t="s">
        <v>29</v>
      </c>
      <c r="F1" s="1" t="s">
        <v>30</v>
      </c>
      <c r="G1" s="1" t="s">
        <v>31</v>
      </c>
      <c r="H1" s="1" t="s">
        <v>32</v>
      </c>
      <c r="I1" s="1" t="s">
        <v>33</v>
      </c>
      <c r="J1" s="1" t="s">
        <v>34</v>
      </c>
      <c r="K1" s="1" t="s">
        <v>35</v>
      </c>
    </row>
    <row r="2" spans="1:11" x14ac:dyDescent="0.25">
      <c r="A2" s="2">
        <v>1</v>
      </c>
      <c r="B2" s="2" t="s">
        <v>36</v>
      </c>
      <c r="C2" s="2" t="s">
        <v>37</v>
      </c>
      <c r="D2" s="3">
        <v>85000</v>
      </c>
      <c r="E2" s="4" t="s">
        <v>38</v>
      </c>
      <c r="F2" s="2">
        <v>2</v>
      </c>
      <c r="G2" s="5">
        <v>0.05</v>
      </c>
      <c r="H2" s="3"/>
      <c r="I2" s="3" t="str">
        <f>IF(H2="","",D2-H2)</f>
        <v/>
      </c>
      <c r="J2" s="5" t="str">
        <f>IF(OR(H2="",D2=0),"",(D2-H2)/D2)</f>
        <v/>
      </c>
      <c r="K2" s="2" t="str">
        <f>"Q"&amp;ROUNDUP(MONTH(E2)/3,0)</f>
        <v>Q1</v>
      </c>
    </row>
    <row r="3" spans="1:11" x14ac:dyDescent="0.25">
      <c r="A3" s="2">
        <v>5</v>
      </c>
      <c r="B3" s="2" t="s">
        <v>39</v>
      </c>
      <c r="C3" s="2" t="s">
        <v>37</v>
      </c>
      <c r="D3" s="3">
        <v>45000</v>
      </c>
      <c r="E3" s="4" t="s">
        <v>40</v>
      </c>
      <c r="F3" s="2">
        <v>4</v>
      </c>
      <c r="G3" s="5">
        <v>0.05</v>
      </c>
      <c r="H3" s="3"/>
      <c r="I3" s="3" t="str">
        <f>IF(H3="","",D3-H3)</f>
        <v/>
      </c>
      <c r="J3" s="5" t="str">
        <f>IF(OR(H3="",D3=0),"",(D3-H3)/D3)</f>
        <v/>
      </c>
      <c r="K3" s="2" t="str">
        <f>"Q"&amp;ROUNDUP(MONTH(E3)/3,0)</f>
        <v>Q1</v>
      </c>
    </row>
    <row r="4" spans="1:11" x14ac:dyDescent="0.25">
      <c r="A4" s="2">
        <v>7</v>
      </c>
      <c r="B4" s="2" t="s">
        <v>41</v>
      </c>
      <c r="C4" s="2" t="s">
        <v>37</v>
      </c>
      <c r="D4" s="3">
        <v>32000</v>
      </c>
      <c r="E4" s="4" t="s">
        <v>42</v>
      </c>
      <c r="F4" s="2">
        <v>2</v>
      </c>
      <c r="G4" s="5">
        <v>0.08</v>
      </c>
      <c r="H4" s="3"/>
      <c r="I4" s="3" t="str">
        <f>IF(H4="","",D4-H4)</f>
        <v/>
      </c>
      <c r="J4" s="5" t="str">
        <f>IF(OR(H4="",D4=0),"",(D4-H4)/D4)</f>
        <v/>
      </c>
      <c r="K4" s="2" t="str">
        <f>"Q"&amp;ROUNDUP(MONTH(E4)/3,0)</f>
        <v>Q2</v>
      </c>
    </row>
  </sheetData>
  <autoFilter ref="A1:K4"/>
  <pageMargins left="0.25" right="0.25" top="1" bottom="1" header="0.5" footer="0.5"/>
  <pageSetup fitToHeight="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2"/>
  <sheetViews>
    <sheetView showGridLines="0" workbookViewId="0">
      <pane ySplit="3" topLeftCell="A13" activePane="bottomLeft" state="frozen"/>
      <selection pane="bottomLeft" sqref="A1:F1"/>
    </sheetView>
  </sheetViews>
  <sheetFormatPr defaultRowHeight="15" x14ac:dyDescent="0.25"/>
  <cols>
    <col min="1" max="1" width="24" customWidth="1"/>
    <col min="2" max="3" width="18" customWidth="1"/>
    <col min="4" max="4" width="24" customWidth="1"/>
    <col min="5" max="5" width="34" customWidth="1"/>
    <col min="6" max="6" width="4" customWidth="1"/>
  </cols>
  <sheetData>
    <row r="1" spans="1:6" ht="21" x14ac:dyDescent="0.25">
      <c r="A1" s="26" t="s">
        <v>43</v>
      </c>
      <c r="B1" s="23"/>
      <c r="C1" s="23"/>
      <c r="D1" s="23"/>
      <c r="E1" s="23"/>
      <c r="F1" s="23"/>
    </row>
    <row r="2" spans="1:6" x14ac:dyDescent="0.25">
      <c r="A2" s="25" t="s">
        <v>44</v>
      </c>
      <c r="B2" s="23"/>
      <c r="C2" s="23"/>
      <c r="D2" s="23"/>
      <c r="E2" s="23"/>
      <c r="F2" s="23"/>
    </row>
    <row r="3" spans="1:6" x14ac:dyDescent="0.25">
      <c r="A3" s="6"/>
      <c r="B3" s="6"/>
      <c r="C3" s="6"/>
      <c r="D3" s="6"/>
      <c r="E3" s="6"/>
    </row>
    <row r="4" spans="1:6" x14ac:dyDescent="0.25">
      <c r="A4" s="7" t="s">
        <v>45</v>
      </c>
      <c r="B4" s="6"/>
      <c r="C4" s="6"/>
      <c r="D4" s="7" t="s">
        <v>46</v>
      </c>
      <c r="E4" s="6"/>
    </row>
    <row r="5" spans="1:6" x14ac:dyDescent="0.25">
      <c r="A5" s="8" t="s">
        <v>47</v>
      </c>
      <c r="B5" s="8" t="s">
        <v>48</v>
      </c>
      <c r="C5" s="6"/>
      <c r="D5" s="8" t="s">
        <v>49</v>
      </c>
      <c r="E5" s="8" t="s">
        <v>48</v>
      </c>
    </row>
    <row r="6" spans="1:6" x14ac:dyDescent="0.25">
      <c r="A6" s="6" t="s">
        <v>37</v>
      </c>
      <c r="B6" s="9">
        <f>SUMIF('Sales Data'!$C:$C,A6,'Sales Data'!$D:$D)</f>
        <v>162000</v>
      </c>
      <c r="C6" s="6"/>
      <c r="D6" s="6" t="s">
        <v>50</v>
      </c>
      <c r="E6" s="9">
        <f>SUMIF('Sales Data'!$K:$K,D6,'Sales Data'!$D:$D)</f>
        <v>130000</v>
      </c>
    </row>
    <row r="7" spans="1:6" x14ac:dyDescent="0.25">
      <c r="A7" s="6"/>
      <c r="B7" s="6"/>
      <c r="C7" s="6"/>
      <c r="D7" s="6" t="s">
        <v>51</v>
      </c>
      <c r="E7" s="9">
        <f>SUMIF('Sales Data'!$K:$K,D7,'Sales Data'!$D:$D)</f>
        <v>32000</v>
      </c>
    </row>
    <row r="8" spans="1:6" x14ac:dyDescent="0.25">
      <c r="A8" s="6"/>
      <c r="B8" s="6"/>
      <c r="C8" s="6"/>
      <c r="D8" s="6" t="s">
        <v>52</v>
      </c>
      <c r="E8" s="9">
        <f>SUMIF('Sales Data'!$K:$K,D8,'Sales Data'!$D:$D)</f>
        <v>0</v>
      </c>
    </row>
    <row r="9" spans="1:6" x14ac:dyDescent="0.25">
      <c r="A9" s="7" t="s">
        <v>53</v>
      </c>
      <c r="B9" s="6"/>
      <c r="C9" s="6"/>
      <c r="D9" s="6" t="s">
        <v>54</v>
      </c>
      <c r="E9" s="9">
        <f>SUMIF('Sales Data'!$K:$K,D9,'Sales Data'!$D:$D)</f>
        <v>0</v>
      </c>
    </row>
    <row r="10" spans="1:6" x14ac:dyDescent="0.25">
      <c r="A10" s="8" t="s">
        <v>55</v>
      </c>
      <c r="B10" s="8" t="s">
        <v>48</v>
      </c>
      <c r="C10" s="6"/>
      <c r="D10" s="6"/>
      <c r="E10" s="6"/>
    </row>
    <row r="11" spans="1:6" x14ac:dyDescent="0.25">
      <c r="A11" s="6" t="s">
        <v>36</v>
      </c>
      <c r="B11" s="9">
        <f>SUMIF('Sales Data'!$B:$B,A11,'Sales Data'!$D:$D)</f>
        <v>85000</v>
      </c>
      <c r="C11" s="6"/>
      <c r="D11" s="6"/>
      <c r="E11" s="6"/>
    </row>
    <row r="12" spans="1:6" x14ac:dyDescent="0.25">
      <c r="A12" s="6" t="s">
        <v>39</v>
      </c>
      <c r="B12" s="9">
        <f>SUMIF('Sales Data'!$B:$B,A12,'Sales Data'!$D:$D)</f>
        <v>45000</v>
      </c>
      <c r="C12" s="6"/>
      <c r="D12" s="6"/>
      <c r="E12" s="6"/>
    </row>
    <row r="13" spans="1:6" x14ac:dyDescent="0.25">
      <c r="A13" s="6" t="s">
        <v>41</v>
      </c>
      <c r="B13" s="9">
        <f>SUMIF('Sales Data'!$B:$B,A13,'Sales Data'!$D:$D)</f>
        <v>32000</v>
      </c>
      <c r="C13" s="6"/>
      <c r="D13" s="6"/>
      <c r="E13" s="6"/>
    </row>
    <row r="14" spans="1:6" x14ac:dyDescent="0.25">
      <c r="A14" s="6"/>
      <c r="B14" s="6"/>
      <c r="C14" s="6"/>
      <c r="D14" s="6"/>
      <c r="E14" s="6"/>
    </row>
    <row r="15" spans="1:6" x14ac:dyDescent="0.25">
      <c r="A15" s="6"/>
      <c r="B15" s="6"/>
      <c r="C15" s="6"/>
      <c r="D15" s="6"/>
      <c r="E15" s="6"/>
    </row>
    <row r="16" spans="1:6" x14ac:dyDescent="0.25">
      <c r="A16" s="7" t="s">
        <v>56</v>
      </c>
      <c r="B16" s="6"/>
      <c r="C16" s="6"/>
      <c r="D16" s="7" t="s">
        <v>57</v>
      </c>
      <c r="E16" s="6"/>
    </row>
    <row r="17" spans="1:5" x14ac:dyDescent="0.25">
      <c r="A17" s="8" t="s">
        <v>49</v>
      </c>
      <c r="B17" s="8" t="s">
        <v>48</v>
      </c>
      <c r="C17" s="8" t="s">
        <v>58</v>
      </c>
      <c r="D17" s="8" t="s">
        <v>59</v>
      </c>
      <c r="E17" s="8" t="s">
        <v>60</v>
      </c>
    </row>
    <row r="18" spans="1:5" x14ac:dyDescent="0.25">
      <c r="A18" s="6" t="s">
        <v>50</v>
      </c>
      <c r="B18" s="9">
        <f>E6</f>
        <v>130000</v>
      </c>
      <c r="C18" s="6" t="str">
        <f>"N/A (first quarter)"</f>
        <v>N/A (first quarter)</v>
      </c>
      <c r="D18" s="6" t="s">
        <v>61</v>
      </c>
      <c r="E18" s="6" t="s">
        <v>62</v>
      </c>
    </row>
    <row r="19" spans="1:5" x14ac:dyDescent="0.25">
      <c r="A19" s="6" t="s">
        <v>51</v>
      </c>
      <c r="B19" s="9">
        <f>E7</f>
        <v>32000</v>
      </c>
      <c r="C19" s="10">
        <f>IF(B18=0,"N/A",(B19-B18)/B18)</f>
        <v>-0.75384615384615383</v>
      </c>
      <c r="D19" s="6"/>
      <c r="E19" s="6"/>
    </row>
    <row r="20" spans="1:5" x14ac:dyDescent="0.25">
      <c r="A20" s="6" t="s">
        <v>52</v>
      </c>
      <c r="B20" s="9">
        <f>E8</f>
        <v>0</v>
      </c>
      <c r="C20" s="10">
        <f>IF(B19=0,"N/A",(B20-B19)/B19)</f>
        <v>-1</v>
      </c>
      <c r="D20" s="11" t="s">
        <v>63</v>
      </c>
      <c r="E20" s="6" t="s">
        <v>64</v>
      </c>
    </row>
    <row r="21" spans="1:5" x14ac:dyDescent="0.25">
      <c r="A21" s="6" t="s">
        <v>54</v>
      </c>
      <c r="B21" s="9">
        <f>E9</f>
        <v>0</v>
      </c>
      <c r="C21" s="10" t="str">
        <f>IF(B20=0,"N/A",(B21-B20)/B20)</f>
        <v>N/A</v>
      </c>
      <c r="D21" s="6"/>
      <c r="E21" s="6"/>
    </row>
    <row r="22" spans="1:5" x14ac:dyDescent="0.25">
      <c r="A22" s="6"/>
      <c r="B22" s="6"/>
      <c r="C22" s="6"/>
      <c r="D22" s="6"/>
      <c r="E22" s="6"/>
    </row>
  </sheetData>
  <mergeCells count="2">
    <mergeCell ref="A2:F2"/>
    <mergeCell ref="A1:F1"/>
  </mergeCells>
  <conditionalFormatting sqref="C19:C21">
    <cfRule type="cellIs" dxfId="1" priority="1" operator="lessThan">
      <formula>0</formula>
    </cfRule>
    <cfRule type="cellIs" dxfId="0" priority="2" operator="greaterThanOrEqual">
      <formula>0.1</formula>
    </cfRule>
  </conditionalFormatting>
  <pageMargins left="0.25" right="0.25" top="1" bottom="1" header="0.5" footer="0.5"/>
  <pageSetup fitToHeight="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35"/>
  <sheetViews>
    <sheetView showGridLines="0" workbookViewId="0">
      <pane ySplit="8" topLeftCell="A33" activePane="bottomLeft" state="frozen"/>
      <selection pane="bottomLeft" activeCell="A6" sqref="A6"/>
    </sheetView>
  </sheetViews>
  <sheetFormatPr defaultRowHeight="15" x14ac:dyDescent="0.25"/>
  <cols>
    <col min="1" max="1" width="115" customWidth="1"/>
    <col min="2" max="2" width="75" customWidth="1"/>
  </cols>
  <sheetData>
    <row r="1" spans="1:2" ht="19.5" x14ac:dyDescent="0.3">
      <c r="A1" s="27" t="s">
        <v>65</v>
      </c>
      <c r="B1" s="23"/>
    </row>
    <row r="3" spans="1:2" x14ac:dyDescent="0.25">
      <c r="A3" s="12" t="s">
        <v>66</v>
      </c>
    </row>
    <row r="4" spans="1:2" ht="45" customHeight="1" x14ac:dyDescent="0.25">
      <c r="A4" s="13" t="s">
        <v>67</v>
      </c>
    </row>
    <row r="6" spans="1:2" ht="45" customHeight="1" x14ac:dyDescent="0.25">
      <c r="A6" s="14" t="s">
        <v>68</v>
      </c>
      <c r="B6" s="13" t="s">
        <v>69</v>
      </c>
    </row>
    <row r="8" spans="1:2" x14ac:dyDescent="0.25">
      <c r="A8" s="12" t="s">
        <v>70</v>
      </c>
    </row>
    <row r="9" spans="1:2" x14ac:dyDescent="0.25">
      <c r="A9" s="15" t="s">
        <v>71</v>
      </c>
    </row>
    <row r="10" spans="1:2" x14ac:dyDescent="0.25">
      <c r="A10" s="15" t="s">
        <v>72</v>
      </c>
    </row>
    <row r="11" spans="1:2" x14ac:dyDescent="0.25">
      <c r="A11" s="15" t="s">
        <v>73</v>
      </c>
    </row>
    <row r="12" spans="1:2" x14ac:dyDescent="0.25">
      <c r="A12" s="15" t="s">
        <v>74</v>
      </c>
    </row>
    <row r="13" spans="1:2" x14ac:dyDescent="0.25">
      <c r="A13" s="15" t="s">
        <v>75</v>
      </c>
    </row>
    <row r="14" spans="1:2" x14ac:dyDescent="0.25">
      <c r="A14" s="15" t="s">
        <v>76</v>
      </c>
    </row>
    <row r="15" spans="1:2" x14ac:dyDescent="0.25">
      <c r="A15" s="15" t="s">
        <v>77</v>
      </c>
    </row>
    <row r="16" spans="1:2" x14ac:dyDescent="0.25">
      <c r="A16" s="15" t="s">
        <v>78</v>
      </c>
    </row>
    <row r="17" spans="1:1" x14ac:dyDescent="0.25">
      <c r="A17" s="15" t="s">
        <v>79</v>
      </c>
    </row>
    <row r="18" spans="1:1" x14ac:dyDescent="0.25">
      <c r="A18" s="15" t="s">
        <v>80</v>
      </c>
    </row>
    <row r="19" spans="1:1" x14ac:dyDescent="0.25">
      <c r="A19" s="15" t="s">
        <v>81</v>
      </c>
    </row>
    <row r="20" spans="1:1" x14ac:dyDescent="0.25">
      <c r="A20" s="15" t="s">
        <v>82</v>
      </c>
    </row>
    <row r="21" spans="1:1" x14ac:dyDescent="0.25">
      <c r="A21" s="15" t="s">
        <v>83</v>
      </c>
    </row>
    <row r="22" spans="1:1" x14ac:dyDescent="0.25">
      <c r="A22" s="15" t="s">
        <v>84</v>
      </c>
    </row>
    <row r="23" spans="1:1" x14ac:dyDescent="0.25">
      <c r="A23" s="15" t="s">
        <v>85</v>
      </c>
    </row>
    <row r="24" spans="1:1" x14ac:dyDescent="0.25">
      <c r="A24" s="15" t="s">
        <v>86</v>
      </c>
    </row>
    <row r="25" spans="1:1" x14ac:dyDescent="0.25">
      <c r="A25" s="15" t="s">
        <v>87</v>
      </c>
    </row>
    <row r="26" spans="1:1" x14ac:dyDescent="0.25">
      <c r="A26" s="15" t="s">
        <v>88</v>
      </c>
    </row>
    <row r="27" spans="1:1" x14ac:dyDescent="0.25">
      <c r="A27" s="15" t="s">
        <v>89</v>
      </c>
    </row>
    <row r="28" spans="1:1" x14ac:dyDescent="0.25">
      <c r="A28" s="15" t="s">
        <v>90</v>
      </c>
    </row>
    <row r="29" spans="1:1" x14ac:dyDescent="0.25">
      <c r="A29" s="15" t="s">
        <v>87</v>
      </c>
    </row>
    <row r="30" spans="1:1" x14ac:dyDescent="0.25">
      <c r="A30" s="15" t="s">
        <v>91</v>
      </c>
    </row>
    <row r="31" spans="1:1" x14ac:dyDescent="0.25">
      <c r="A31" s="15" t="s">
        <v>92</v>
      </c>
    </row>
    <row r="32" spans="1:1" x14ac:dyDescent="0.25">
      <c r="A32" s="15" t="s">
        <v>93</v>
      </c>
    </row>
    <row r="33" spans="1:1" x14ac:dyDescent="0.25">
      <c r="A33" s="15" t="s">
        <v>94</v>
      </c>
    </row>
    <row r="34" spans="1:1" x14ac:dyDescent="0.25">
      <c r="A34" s="15" t="s">
        <v>95</v>
      </c>
    </row>
    <row r="35" spans="1:1" x14ac:dyDescent="0.25">
      <c r="A35" s="15" t="s">
        <v>96</v>
      </c>
    </row>
  </sheetData>
  <mergeCells count="1">
    <mergeCell ref="A1:B1"/>
  </mergeCells>
  <pageMargins left="0.25" right="0.25" top="1" bottom="1" header="0.5" footer="0.5"/>
  <pageSetup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3"/>
  <sheetViews>
    <sheetView showGridLines="0" workbookViewId="0">
      <pane ySplit="1" topLeftCell="A7" activePane="bottomLeft" state="frozen"/>
      <selection pane="bottomLeft" sqref="A1:B1"/>
    </sheetView>
  </sheetViews>
  <sheetFormatPr defaultRowHeight="15" x14ac:dyDescent="0.25"/>
  <cols>
    <col min="1" max="1" width="39" customWidth="1"/>
    <col min="2" max="2" width="100" customWidth="1"/>
  </cols>
  <sheetData>
    <row r="1" spans="1:2" ht="18.75" x14ac:dyDescent="0.3">
      <c r="A1" s="28" t="s">
        <v>0</v>
      </c>
      <c r="B1" s="23"/>
    </row>
    <row r="2" spans="1:2" x14ac:dyDescent="0.25">
      <c r="A2" s="16" t="s">
        <v>97</v>
      </c>
      <c r="B2" s="13" t="s">
        <v>98</v>
      </c>
    </row>
    <row r="3" spans="1:2" ht="42" customHeight="1" x14ac:dyDescent="0.25">
      <c r="A3" s="16" t="s">
        <v>99</v>
      </c>
      <c r="B3" s="13" t="s">
        <v>100</v>
      </c>
    </row>
    <row r="4" spans="1:2" ht="42" customHeight="1" x14ac:dyDescent="0.25">
      <c r="A4" s="16" t="s">
        <v>101</v>
      </c>
      <c r="B4" s="13" t="s">
        <v>102</v>
      </c>
    </row>
    <row r="5" spans="1:2" ht="42" customHeight="1" x14ac:dyDescent="0.25">
      <c r="A5" s="16" t="s">
        <v>103</v>
      </c>
      <c r="B5" s="13" t="s">
        <v>104</v>
      </c>
    </row>
    <row r="6" spans="1:2" ht="42" customHeight="1" x14ac:dyDescent="0.25">
      <c r="A6" s="16" t="s">
        <v>14</v>
      </c>
      <c r="B6" s="13" t="s">
        <v>105</v>
      </c>
    </row>
    <row r="7" spans="1:2" ht="42" customHeight="1" x14ac:dyDescent="0.25">
      <c r="A7" s="16" t="s">
        <v>17</v>
      </c>
      <c r="B7" s="13" t="s">
        <v>106</v>
      </c>
    </row>
    <row r="8" spans="1:2" ht="42" customHeight="1" x14ac:dyDescent="0.25">
      <c r="A8" s="16" t="s">
        <v>107</v>
      </c>
      <c r="B8" s="13" t="s">
        <v>108</v>
      </c>
    </row>
    <row r="9" spans="1:2" ht="48" customHeight="1" x14ac:dyDescent="0.25">
      <c r="A9" s="17" t="s">
        <v>109</v>
      </c>
      <c r="B9" s="18" t="s">
        <v>110</v>
      </c>
    </row>
    <row r="10" spans="1:2" ht="30" x14ac:dyDescent="0.25">
      <c r="A10" s="16" t="s">
        <v>111</v>
      </c>
      <c r="B10" s="13" t="s">
        <v>112</v>
      </c>
    </row>
    <row r="11" spans="1:2" ht="45" x14ac:dyDescent="0.25">
      <c r="A11" s="16" t="s">
        <v>113</v>
      </c>
      <c r="B11" s="13" t="s">
        <v>114</v>
      </c>
    </row>
    <row r="12" spans="1:2" ht="30" x14ac:dyDescent="0.25">
      <c r="A12" s="16" t="s">
        <v>115</v>
      </c>
      <c r="B12" s="13" t="s">
        <v>116</v>
      </c>
    </row>
    <row r="13" spans="1:2" ht="45" x14ac:dyDescent="0.25">
      <c r="A13" s="16" t="s">
        <v>117</v>
      </c>
      <c r="B13" s="13" t="s">
        <v>118</v>
      </c>
    </row>
  </sheetData>
  <mergeCells count="1">
    <mergeCell ref="A1:B1"/>
  </mergeCells>
  <pageMargins left="0.25" right="0.25" top="1" bottom="1"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Task Checklist</vt:lpstr>
      <vt:lpstr>Sheet1</vt:lpstr>
      <vt:lpstr>Sales Data</vt:lpstr>
      <vt:lpstr>Analysis</vt:lpstr>
      <vt:lpstr>Power Query</vt:lpstr>
      <vt:lpstr>Read Me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2026-10-16T15:14:43Z</dcterms:created>
  <dcterms:modified xsi:type="dcterms:W3CDTF">2026-10-16T16:16:02Z</dcterms:modified>
</cp:coreProperties>
</file>